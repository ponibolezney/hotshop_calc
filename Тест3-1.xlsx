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Исходные данные" sheetId="1" r:id="rId1"/>
    <sheet name="Справочники" sheetId="2" r:id="rId2"/>
    <sheet name="Расчёт" sheetId="3" r:id="rId3"/>
  </sheets>
  <calcPr calcId="124519" fullCalcOnLoad="1"/>
</workbook>
</file>

<file path=xl/sharedStrings.xml><?xml version="1.0" encoding="utf-8"?>
<sst xmlns="http://schemas.openxmlformats.org/spreadsheetml/2006/main" count="98" uniqueCount="64">
  <si>
    <t>Константы проекта</t>
  </si>
  <si>
    <t>K1</t>
  </si>
  <si>
    <t>K2</t>
  </si>
  <si>
    <t>Эмпирический коэффициент k</t>
  </si>
  <si>
    <t>Расстояние до зонта z, м</t>
  </si>
  <si>
    <t>Коэффициент эффективности Ko</t>
  </si>
  <si>
    <t>Поправочный коэффициент a</t>
  </si>
  <si>
    <t>Помещение</t>
  </si>
  <si>
    <t>Категория помещения</t>
  </si>
  <si>
    <t>Наименование</t>
  </si>
  <si>
    <t>Тип оборудования</t>
  </si>
  <si>
    <t>Количество</t>
  </si>
  <si>
    <t>Qy, кВт</t>
  </si>
  <si>
    <t>Ka, Вт/кВт</t>
  </si>
  <si>
    <t>Kз</t>
  </si>
  <si>
    <t>Положение</t>
  </si>
  <si>
    <t>Ширина, мм</t>
  </si>
  <si>
    <t>Глубина, мм</t>
  </si>
  <si>
    <t>Помещение1</t>
  </si>
  <si>
    <t>Кондитерский цех</t>
  </si>
  <si>
    <t>Оборудование1</t>
  </si>
  <si>
    <t>Плита индукционная</t>
  </si>
  <si>
    <t>В углу</t>
  </si>
  <si>
    <t>Оборудование2</t>
  </si>
  <si>
    <t>Гриль-печь JOSPER</t>
  </si>
  <si>
    <t>У стены</t>
  </si>
  <si>
    <t>equipment_types</t>
  </si>
  <si>
    <t>type_id</t>
  </si>
  <si>
    <t>type_name</t>
  </si>
  <si>
    <t>energy_source</t>
  </si>
  <si>
    <t>default_qy_kw</t>
  </si>
  <si>
    <t>ka_w_per_kw</t>
  </si>
  <si>
    <t>notes</t>
  </si>
  <si>
    <t>josper_grill</t>
  </si>
  <si>
    <t>electric</t>
  </si>
  <si>
    <t>Пример</t>
  </si>
  <si>
    <t>combi_oven</t>
  </si>
  <si>
    <t>Пароконвектомат</t>
  </si>
  <si>
    <t>induction_hob</t>
  </si>
  <si>
    <t>deep_fryer</t>
  </si>
  <si>
    <t>Фритюрница</t>
  </si>
  <si>
    <t>room_categories</t>
  </si>
  <si>
    <t>room_category</t>
  </si>
  <si>
    <t>kz_default</t>
  </si>
  <si>
    <t>Горячий цех</t>
  </si>
  <si>
    <t>Типовое значение</t>
  </si>
  <si>
    <t>Мясной цех</t>
  </si>
  <si>
    <t>position_coefficients</t>
  </si>
  <si>
    <t>position_name</t>
  </si>
  <si>
    <t>r_value</t>
  </si>
  <si>
    <t>Свободно стоящее</t>
  </si>
  <si>
    <t>Таблица положения</t>
  </si>
  <si>
    <t>Минимум из таблицы</t>
  </si>
  <si>
    <t>Ширина, м</t>
  </si>
  <si>
    <t>Глубина, м</t>
  </si>
  <si>
    <t>D, м</t>
  </si>
  <si>
    <t>r</t>
  </si>
  <si>
    <t>Qк, кВт</t>
  </si>
  <si>
    <t>Lк, м³/ч</t>
  </si>
  <si>
    <t>a</t>
  </si>
  <si>
    <t>Ko</t>
  </si>
  <si>
    <t>Li, м³/ч</t>
  </si>
  <si>
    <t>Проверка Kз из справ.</t>
  </si>
  <si>
    <t>Итого по Li, м³/ч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</si>
</sst>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cols>
    <col min="1" max="1" width="24.7109375" customWidth="1"/>
    <col min="2" max="2" width="22.7109375" customWidth="1"/>
    <col min="3" max="3" width="20.7109375" customWidth="1"/>
    <col min="4" max="4" width="26.7109375" customWidth="1"/>
    <col min="5" max="11" width="16.7109375" customWidth="1"/>
  </cols>
  <sheetData>
    <row r="1" spans="1:11">
      <c r="A1" s="1" t="s">
        <v>0</v>
      </c>
      <c r="B1" s="1"/>
    </row>
    <row r="2" spans="1:11">
      <c r="A2" s="2" t="s">
        <v>1</v>
      </c>
      <c r="B2" s="3">
        <v>0.5</v>
      </c>
    </row>
    <row r="3" spans="1:11">
      <c r="A3" s="2" t="s">
        <v>2</v>
      </c>
      <c r="B3" s="3">
        <v>0.7</v>
      </c>
    </row>
    <row r="4" spans="1:11">
      <c r="A4" s="2" t="s">
        <v>3</v>
      </c>
      <c r="B4" s="3">
        <v>180</v>
      </c>
    </row>
    <row r="5" spans="1:11">
      <c r="A5" s="2" t="s">
        <v>4</v>
      </c>
      <c r="B5" s="3">
        <v>1.1</v>
      </c>
    </row>
    <row r="6" spans="1:11">
      <c r="A6" s="2" t="s">
        <v>5</v>
      </c>
      <c r="B6" s="3">
        <v>0.8</v>
      </c>
    </row>
    <row r="7" spans="1:11">
      <c r="A7" s="2" t="s">
        <v>6</v>
      </c>
      <c r="B7" s="3">
        <v>1.25</v>
      </c>
    </row>
    <row r="9" spans="1:11">
      <c r="A9" s="4" t="s">
        <v>7</v>
      </c>
      <c r="B9" s="4" t="s">
        <v>8</v>
      </c>
      <c r="C9" s="4" t="s">
        <v>9</v>
      </c>
      <c r="D9" s="4" t="s">
        <v>10</v>
      </c>
      <c r="E9" s="4" t="s">
        <v>11</v>
      </c>
      <c r="F9" s="4" t="s">
        <v>12</v>
      </c>
      <c r="G9" s="4" t="s">
        <v>13</v>
      </c>
      <c r="H9" s="4" t="s">
        <v>14</v>
      </c>
      <c r="I9" s="4" t="s">
        <v>15</v>
      </c>
      <c r="J9" s="4" t="s">
        <v>16</v>
      </c>
      <c r="K9" s="4" t="s">
        <v>17</v>
      </c>
    </row>
    <row r="10" spans="1:11">
      <c r="A10" s="2" t="s">
        <v>18</v>
      </c>
      <c r="B10" s="2" t="s">
        <v>19</v>
      </c>
      <c r="C10" s="2" t="s">
        <v>20</v>
      </c>
      <c r="D10" s="2" t="s">
        <v>21</v>
      </c>
      <c r="E10" s="5">
        <v>1</v>
      </c>
      <c r="F10" s="3">
        <v>21</v>
      </c>
      <c r="G10" s="3">
        <v>200</v>
      </c>
      <c r="H10" s="3">
        <v>0.6</v>
      </c>
      <c r="I10" s="2" t="s">
        <v>22</v>
      </c>
      <c r="J10" s="3">
        <v>255</v>
      </c>
      <c r="K10" s="3">
        <v>255</v>
      </c>
    </row>
    <row r="11" spans="1:11">
      <c r="A11" s="2" t="s">
        <v>18</v>
      </c>
      <c r="B11" s="2" t="s">
        <v>19</v>
      </c>
      <c r="C11" s="2" t="s">
        <v>23</v>
      </c>
      <c r="D11" s="2" t="s">
        <v>24</v>
      </c>
      <c r="E11" s="5">
        <v>1</v>
      </c>
      <c r="F11" s="3">
        <v>6</v>
      </c>
      <c r="G11" s="3">
        <v>720</v>
      </c>
      <c r="H11" s="3">
        <v>0.6</v>
      </c>
      <c r="I11" s="2" t="s">
        <v>25</v>
      </c>
      <c r="J11" s="3">
        <v>333</v>
      </c>
      <c r="K11" s="3">
        <v>324</v>
      </c>
    </row>
    <row r="12" spans="1:1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cols>
    <col min="1" max="8" width="24.7109375" customWidth="1"/>
  </cols>
  <sheetData>
    <row r="1" spans="1:6">
      <c r="A1" s="1" t="s">
        <v>26</v>
      </c>
    </row>
    <row r="2" spans="1:6">
      <c r="A2" s="4" t="s">
        <v>27</v>
      </c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</row>
    <row r="3" spans="1:6">
      <c r="A3" s="2" t="s">
        <v>33</v>
      </c>
      <c r="B3" s="2" t="s">
        <v>24</v>
      </c>
      <c r="C3" s="2" t="s">
        <v>34</v>
      </c>
      <c r="D3" s="3">
        <v>6</v>
      </c>
      <c r="E3" s="3">
        <v>720</v>
      </c>
      <c r="F3" s="2" t="s">
        <v>35</v>
      </c>
    </row>
    <row r="4" spans="1:6">
      <c r="A4" s="2" t="s">
        <v>36</v>
      </c>
      <c r="B4" s="2" t="s">
        <v>37</v>
      </c>
      <c r="C4" s="2" t="s">
        <v>34</v>
      </c>
      <c r="D4" s="3">
        <v>11.7</v>
      </c>
      <c r="E4" s="3">
        <v>120</v>
      </c>
      <c r="F4" s="2" t="s">
        <v>35</v>
      </c>
    </row>
    <row r="5" spans="1:6">
      <c r="A5" s="2" t="s">
        <v>38</v>
      </c>
      <c r="B5" s="2" t="s">
        <v>21</v>
      </c>
      <c r="C5" s="2" t="s">
        <v>34</v>
      </c>
      <c r="D5" s="3">
        <v>21</v>
      </c>
      <c r="E5" s="3">
        <v>200</v>
      </c>
      <c r="F5" s="2" t="s">
        <v>35</v>
      </c>
    </row>
    <row r="6" spans="1:6">
      <c r="A6" s="2" t="s">
        <v>39</v>
      </c>
      <c r="B6" s="2" t="s">
        <v>40</v>
      </c>
      <c r="C6" s="2" t="s">
        <v>34</v>
      </c>
      <c r="D6" s="3">
        <v>15</v>
      </c>
      <c r="E6" s="3">
        <v>90</v>
      </c>
      <c r="F6" s="2" t="s">
        <v>35</v>
      </c>
    </row>
    <row r="9" spans="1:6">
      <c r="A9" s="1" t="s">
        <v>41</v>
      </c>
    </row>
    <row r="10" spans="1:6">
      <c r="A10" s="4" t="s">
        <v>42</v>
      </c>
      <c r="B10" s="4" t="s">
        <v>43</v>
      </c>
      <c r="C10" s="4" t="s">
        <v>32</v>
      </c>
    </row>
    <row r="11" spans="1:6">
      <c r="A11" s="2" t="s">
        <v>44</v>
      </c>
      <c r="B11" s="3">
        <v>0.7</v>
      </c>
      <c r="C11" s="2" t="s">
        <v>45</v>
      </c>
    </row>
    <row r="12" spans="1:6">
      <c r="A12" s="2" t="s">
        <v>19</v>
      </c>
      <c r="B12" s="3">
        <v>0.6</v>
      </c>
      <c r="C12" s="2" t="s">
        <v>35</v>
      </c>
    </row>
    <row r="13" spans="1:6">
      <c r="A13" s="2" t="s">
        <v>46</v>
      </c>
      <c r="B13" s="3">
        <v>0.5</v>
      </c>
      <c r="C13" s="2" t="s">
        <v>35</v>
      </c>
    </row>
    <row r="16" spans="1:6">
      <c r="A16" s="1" t="s">
        <v>47</v>
      </c>
    </row>
    <row r="17" spans="1:3">
      <c r="A17" s="4" t="s">
        <v>48</v>
      </c>
      <c r="B17" s="4" t="s">
        <v>49</v>
      </c>
      <c r="C17" s="4" t="s">
        <v>32</v>
      </c>
    </row>
    <row r="18" spans="1:3">
      <c r="A18" s="2" t="s">
        <v>50</v>
      </c>
      <c r="B18" s="3">
        <v>1</v>
      </c>
      <c r="C18" s="2" t="s">
        <v>51</v>
      </c>
    </row>
    <row r="19" spans="1:3">
      <c r="A19" s="2" t="s">
        <v>25</v>
      </c>
      <c r="B19" s="3">
        <v>0.63</v>
      </c>
      <c r="C19" s="2" t="s">
        <v>52</v>
      </c>
    </row>
    <row r="20" spans="1:3">
      <c r="A20" s="2" t="s">
        <v>22</v>
      </c>
      <c r="B20" s="3">
        <v>0.4</v>
      </c>
      <c r="C20" s="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cols>
    <col min="1" max="1" width="22.7109375" customWidth="1"/>
    <col min="2" max="2" width="20.7109375" customWidth="1"/>
    <col min="3" max="3" width="28.7109375" customWidth="1"/>
    <col min="4" max="4" width="20.7109375" customWidth="1"/>
    <col min="5" max="9" width="14.7109375" customWidth="1"/>
    <col min="10" max="16" width="16.7109375" customWidth="1"/>
  </cols>
  <sheetData>
    <row r="1" spans="1:18">
      <c r="A1" s="4" t="s">
        <v>7</v>
      </c>
      <c r="B1" s="4" t="s">
        <v>8</v>
      </c>
      <c r="C1" s="4" t="s">
        <v>9</v>
      </c>
      <c r="D1" s="4" t="s">
        <v>15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53</v>
      </c>
      <c r="J1" s="4" t="s">
        <v>54</v>
      </c>
      <c r="K1" s="4" t="s">
        <v>55</v>
      </c>
      <c r="L1" s="4" t="s">
        <v>56</v>
      </c>
      <c r="M1" s="4" t="s">
        <v>57</v>
      </c>
      <c r="N1" s="4" t="s">
        <v>58</v>
      </c>
      <c r="O1" s="4" t="s">
        <v>59</v>
      </c>
      <c r="P1" s="4" t="s">
        <v>60</v>
      </c>
      <c r="Q1" s="4" t="s">
        <v>61</v>
      </c>
      <c r="R1" s="4" t="s">
        <v>62</v>
      </c>
    </row>
    <row r="2" spans="1:18">
      <c r="A2" s="2" t="s">
        <v>18</v>
      </c>
      <c r="B2" s="2" t="s">
        <v>19</v>
      </c>
      <c r="C2" s="2" t="s">
        <v>20</v>
      </c>
      <c r="D2" s="2" t="s">
        <v>22</v>
      </c>
      <c r="E2" s="5">
        <v>1</v>
      </c>
      <c r="F2" s="3">
        <v>21</v>
      </c>
      <c r="G2" s="3">
        <v>200</v>
      </c>
      <c r="H2" s="3">
        <v>0.6</v>
      </c>
      <c r="I2" s="3">
        <v>0.255</v>
      </c>
      <c r="J2" s="3">
        <v>0.255</v>
      </c>
      <c r="K2" s="3">
        <f>2*I2*J2/(I2+J2)</f>
        <v>0</v>
      </c>
      <c r="L2" s="3">
        <f>IFERROR(INDEX('Справочники'!$B$18:$B$20,MATCH(D2,'Справочники'!$A$18:$A$20,0)),"")</f>
        <v>0</v>
      </c>
      <c r="M2" s="3">
        <f>E2*F2*G2*'Исходные данные'!$B$2*H2/1000</f>
        <v>0</v>
      </c>
      <c r="N2" s="6">
        <f>'Исходные данные'!$B$4*(M2^(1/3))*(('Исходные данные'!$B$5+1.7*K2)^(5/3))*L2</f>
        <v>0</v>
      </c>
      <c r="O2" s="3">
        <f>'Исходные данные'!$B$7</f>
        <v>0</v>
      </c>
      <c r="P2" s="3">
        <f>'Исходные данные'!$B$6</f>
        <v>0</v>
      </c>
      <c r="Q2" s="6">
        <f>N2*O2/P2</f>
        <v>0</v>
      </c>
      <c r="R2" s="3">
        <f>IFERROR(INDEX('Справочники'!$B$11:$B$13,MATCH(B2,'Справочники'!$A$11:$A$13,0)),"")</f>
        <v>0</v>
      </c>
    </row>
    <row r="3" spans="1:18">
      <c r="A3" s="2" t="s">
        <v>18</v>
      </c>
      <c r="B3" s="2" t="s">
        <v>19</v>
      </c>
      <c r="C3" s="2" t="s">
        <v>23</v>
      </c>
      <c r="D3" s="2" t="s">
        <v>25</v>
      </c>
      <c r="E3" s="5">
        <v>1</v>
      </c>
      <c r="F3" s="3">
        <v>6</v>
      </c>
      <c r="G3" s="3">
        <v>720</v>
      </c>
      <c r="H3" s="3">
        <v>0.6</v>
      </c>
      <c r="I3" s="3">
        <v>0.333</v>
      </c>
      <c r="J3" s="3">
        <v>0.324</v>
      </c>
      <c r="K3" s="3">
        <f>2*I3*J3/(I3+J3)</f>
        <v>0</v>
      </c>
      <c r="L3" s="3">
        <f>IFERROR(INDEX('Справочники'!$B$18:$B$20,MATCH(D3,'Справочники'!$A$18:$A$20,0)),"")</f>
        <v>0</v>
      </c>
      <c r="M3" s="3">
        <f>E3*F3*G3*'Исходные данные'!$B$2*H3/1000</f>
        <v>0</v>
      </c>
      <c r="N3" s="6">
        <f>'Исходные данные'!$B$4*(M3^(1/3))*(('Исходные данные'!$B$5+1.7*K3)^(5/3))*L3</f>
        <v>0</v>
      </c>
      <c r="O3" s="3">
        <f>'Исходные данные'!$B$7</f>
        <v>0</v>
      </c>
      <c r="P3" s="3">
        <f>'Исходные данные'!$B$6</f>
        <v>0</v>
      </c>
      <c r="Q3" s="6">
        <f>N3*O3/P3</f>
        <v>0</v>
      </c>
      <c r="R3" s="3">
        <f>IFERROR(INDEX('Справочники'!$B$11:$B$13,MATCH(B3,'Справочники'!$A$11:$A$13,0)),"")</f>
        <v>0</v>
      </c>
    </row>
    <row r="4" spans="1:18">
      <c r="P4" s="7" t="s">
        <v>63</v>
      </c>
      <c r="Q4" s="7">
        <f>SUM(Q2:Q3)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Исходные данные</vt:lpstr>
      <vt:lpstr>Справочники</vt:lpstr>
      <vt:lpstr>Расчёт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2026-04-24T07:45:16Z</dcterms:created>
  <dcterms:modified xsi:type="dcterms:W3CDTF">2026-04-24T07:45:16Z</dcterms:modified>
</cp:coreProperties>
</file>